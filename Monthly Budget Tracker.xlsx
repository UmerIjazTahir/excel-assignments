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ICT Theory Assignment/Excel Assignments/"/>
    </mc:Choice>
  </mc:AlternateContent>
  <xr:revisionPtr revIDLastSave="2" documentId="8_{891587B6-1665-44EE-8016-7C595A09901D}" xr6:coauthVersionLast="47" xr6:coauthVersionMax="47" xr10:uidLastSave="{19EEC4B0-832E-4984-BAE6-3F4EC4AA6654}"/>
  <bookViews>
    <workbookView xWindow="-110" yWindow="-110" windowWidth="19420" windowHeight="10300" activeTab="3" xr2:uid="{938B379B-FD86-4944-BD46-69B70B621203}"/>
  </bookViews>
  <sheets>
    <sheet name="Summary" sheetId="5" r:id="rId1"/>
    <sheet name="Savings" sheetId="3" r:id="rId2"/>
    <sheet name="Expenses" sheetId="2" r:id="rId3"/>
    <sheet name="Income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5" l="1"/>
  <c r="C21" i="5"/>
  <c r="H16" i="5"/>
  <c r="H13" i="5"/>
  <c r="H10" i="5"/>
  <c r="H7" i="5"/>
</calcChain>
</file>

<file path=xl/sharedStrings.xml><?xml version="1.0" encoding="utf-8"?>
<sst xmlns="http://schemas.openxmlformats.org/spreadsheetml/2006/main" count="61" uniqueCount="42">
  <si>
    <t>Food</t>
  </si>
  <si>
    <t>Personal Budget Tracker</t>
  </si>
  <si>
    <t>Monthly Income :</t>
  </si>
  <si>
    <t>Date</t>
  </si>
  <si>
    <t>Sr No</t>
  </si>
  <si>
    <t>Income Source</t>
  </si>
  <si>
    <t>Amount</t>
  </si>
  <si>
    <t>Monthly Expenses :</t>
  </si>
  <si>
    <t>Expenses Source</t>
  </si>
  <si>
    <t>Waste Management C</t>
  </si>
  <si>
    <t>23/04/2023</t>
  </si>
  <si>
    <t>31/12/2020</t>
  </si>
  <si>
    <t>23/06/2024</t>
  </si>
  <si>
    <t>24/07/2024</t>
  </si>
  <si>
    <t>26/09/2025</t>
  </si>
  <si>
    <t>Salary</t>
  </si>
  <si>
    <t>Stocks</t>
  </si>
  <si>
    <t>Rents</t>
  </si>
  <si>
    <t>Agriculture</t>
  </si>
  <si>
    <t>Clothing</t>
  </si>
  <si>
    <t>Trips</t>
  </si>
  <si>
    <t>Parties</t>
  </si>
  <si>
    <t>School Fee</t>
  </si>
  <si>
    <t>College Fee</t>
  </si>
  <si>
    <t>Labour Costs</t>
  </si>
  <si>
    <t>Entertainments</t>
  </si>
  <si>
    <t>Transportaion</t>
  </si>
  <si>
    <t>Miscellanous</t>
  </si>
  <si>
    <t>23/12/2024</t>
  </si>
  <si>
    <t>23/01/2024</t>
  </si>
  <si>
    <t>23/02/2024</t>
  </si>
  <si>
    <t>Bank Deposits</t>
  </si>
  <si>
    <t>24/05/2024</t>
  </si>
  <si>
    <t>24/08/2024</t>
  </si>
  <si>
    <t>Summary :</t>
  </si>
  <si>
    <t>Monthly Income:</t>
  </si>
  <si>
    <t>Monthly Expense:</t>
  </si>
  <si>
    <t>Monthly  Savings:</t>
  </si>
  <si>
    <t>Cash Balance:</t>
  </si>
  <si>
    <t>Money Spent:</t>
  </si>
  <si>
    <t>Money Remaining:</t>
  </si>
  <si>
    <t>Percentage of Income Spent: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</si>
</sst>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9" fontId="0" fillId="0" borderId="0" xfId="1" applyFont="1"/>
    <xf numFmtId="9" fontId="2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Summary!$B$6:$G$6</c:f>
              <c:strCache>
                <c:ptCount val="6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Summary!$H$6:$J$6</c:f>
              <c:numCache>
                <c:formatCode>General</c:formatCode>
                <c:ptCount val="3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B-43D7-BC17-8998E250E741}"/>
            </c:ext>
          </c:extLst>
        </c:ser>
        <c:ser>
          <c:idx val="1"/>
          <c:order val="1"/>
          <c:tx>
            <c:v>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278490</c:v>
              </c:pt>
            </c:numLit>
          </c:val>
          <c:extLst>
            <c:ext xmlns:c16="http://schemas.microsoft.com/office/drawing/2014/chart" uri="{C3380CC4-5D6E-409C-BE32-E72D297353CC}">
              <c16:uniqueId val="{00000001-F08B-43D7-BC17-8998E250E741}"/>
            </c:ext>
          </c:extLst>
        </c:ser>
        <c:ser>
          <c:idx val="2"/>
          <c:order val="2"/>
          <c:tx>
            <c:v> Expenses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15376</c:v>
              </c:pt>
            </c:numLit>
          </c:val>
          <c:extLst>
            <c:ext xmlns:c16="http://schemas.microsoft.com/office/drawing/2014/chart" uri="{C3380CC4-5D6E-409C-BE32-E72D297353CC}">
              <c16:uniqueId val="{00000002-F08B-43D7-BC17-8998E250E741}"/>
            </c:ext>
          </c:extLst>
        </c:ser>
        <c:ser>
          <c:idx val="3"/>
          <c:order val="3"/>
          <c:tx>
            <c:v>Savings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113114</c:v>
              </c:pt>
            </c:numLit>
          </c:val>
          <c:extLst>
            <c:ext xmlns:c16="http://schemas.microsoft.com/office/drawing/2014/chart" uri="{C3380CC4-5D6E-409C-BE32-E72D297353CC}">
              <c16:uniqueId val="{00000003-F08B-43D7-BC17-8998E250E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757792"/>
        <c:axId val="562764992"/>
      </c:barChart>
      <c:catAx>
        <c:axId val="562757792"/>
        <c:scaling>
          <c:orientation val="minMax"/>
        </c:scaling>
        <c:delete val="1"/>
        <c:axPos val="b"/>
        <c:majorTickMark val="none"/>
        <c:minorTickMark val="none"/>
        <c:tickLblPos val="nextTo"/>
        <c:crossAx val="562764992"/>
        <c:crosses val="autoZero"/>
        <c:auto val="1"/>
        <c:lblAlgn val="ctr"/>
        <c:lblOffset val="100"/>
        <c:noMultiLvlLbl val="0"/>
      </c:catAx>
      <c:valAx>
        <c:axId val="56276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7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FB-4DF2-83CD-42B92C81C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FB-4DF2-83CD-42B92C81C0C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Summary!$C$21:$C$22</c:f>
              <c:numCache>
                <c:formatCode>0%</c:formatCode>
                <c:ptCount val="2"/>
                <c:pt idx="0">
                  <c:v>5.521203633882725E-2</c:v>
                </c:pt>
                <c:pt idx="1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0-4951-8B67-E5B5CE89CF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ome!A1"/><Relationship Id="rId2" Type="http://schemas.openxmlformats.org/officeDocument/2006/relationships/hyperlink" Target="#Expenses!A1"/><Relationship Id="rId1" Type="http://schemas.openxmlformats.org/officeDocument/2006/relationships/hyperlink" Target="#Savings!A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Expens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Saving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Expenses!A1"/><Relationship Id="rId1" Type="http://schemas.openxmlformats.org/officeDocument/2006/relationships/hyperlink" Target="#Saving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469900</xdr:colOff>
      <xdr:row>1</xdr:row>
      <xdr:rowOff>101600</xdr:rowOff>
    </xdr:from>
    <xdr:to>
      <xdr:col>13</xdr:col>
      <xdr:colOff>171450</xdr:colOff>
      <xdr:row>1</xdr:row>
      <xdr:rowOff>374650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CE4183-2E09-41F3-98D5-84E4E2A9609A}"/>
            </a:ext>
          </a:extLst>
        </xdr:cNvPr>
        <xdr:cNvSpPr/>
      </xdr:nvSpPr>
      <xdr:spPr>
        <a:xfrm>
          <a:off x="7981950" y="2857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Savings</a:t>
          </a:r>
        </a:p>
      </xdr:txBody>
    </xdr:sp>
    <xdr:clientData/>
  </xdr:twoCellAnchor>
  <xdr:twoCellAnchor>
    <xdr:from>
      <xdr:col>9</xdr:col>
      <xdr:colOff>450850</xdr:colOff>
      <xdr:row>1</xdr:row>
      <xdr:rowOff>95250</xdr:rowOff>
    </xdr:from>
    <xdr:to>
      <xdr:col>11</xdr:col>
      <xdr:colOff>152400</xdr:colOff>
      <xdr:row>1</xdr:row>
      <xdr:rowOff>368300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C4FFC4-F54F-4A80-9F58-2A0CFE7B3AE2}"/>
            </a:ext>
          </a:extLst>
        </xdr:cNvPr>
        <xdr:cNvSpPr/>
      </xdr:nvSpPr>
      <xdr:spPr>
        <a:xfrm>
          <a:off x="6743700" y="27940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Expenses</a:t>
          </a:r>
        </a:p>
      </xdr:txBody>
    </xdr:sp>
    <xdr:clientData/>
  </xdr:twoCellAnchor>
  <xdr:twoCellAnchor>
    <xdr:from>
      <xdr:col>7</xdr:col>
      <xdr:colOff>488950</xdr:colOff>
      <xdr:row>1</xdr:row>
      <xdr:rowOff>88900</xdr:rowOff>
    </xdr:from>
    <xdr:to>
      <xdr:col>9</xdr:col>
      <xdr:colOff>190500</xdr:colOff>
      <xdr:row>1</xdr:row>
      <xdr:rowOff>361950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248F51-3570-4E65-92B4-C890DF3CDCB3}"/>
            </a:ext>
          </a:extLst>
        </xdr:cNvPr>
        <xdr:cNvSpPr/>
      </xdr:nvSpPr>
      <xdr:spPr>
        <a:xfrm>
          <a:off x="5562600" y="273050"/>
          <a:ext cx="920750" cy="273050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Income</a:t>
          </a:r>
        </a:p>
      </xdr:txBody>
    </xdr:sp>
    <xdr:clientData/>
  </xdr:twoCellAnchor>
  <xdr:twoCellAnchor>
    <xdr:from>
      <xdr:col>5</xdr:col>
      <xdr:colOff>527050</xdr:colOff>
      <xdr:row>1</xdr:row>
      <xdr:rowOff>88900</xdr:rowOff>
    </xdr:from>
    <xdr:to>
      <xdr:col>7</xdr:col>
      <xdr:colOff>228600</xdr:colOff>
      <xdr:row>1</xdr:row>
      <xdr:rowOff>361950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5A675F4-2268-47F1-8D3C-273623E75F16}"/>
            </a:ext>
          </a:extLst>
        </xdr:cNvPr>
        <xdr:cNvSpPr/>
      </xdr:nvSpPr>
      <xdr:spPr>
        <a:xfrm>
          <a:off x="4381500" y="273050"/>
          <a:ext cx="920750" cy="2730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Summary</a:t>
          </a:r>
        </a:p>
      </xdr:txBody>
    </xdr:sp>
    <xdr:clientData/>
  </xdr:twoCellAnchor>
  <xdr:twoCellAnchor>
    <xdr:from>
      <xdr:col>11</xdr:col>
      <xdr:colOff>9525</xdr:colOff>
      <xdr:row>4</xdr:row>
      <xdr:rowOff>0</xdr:rowOff>
    </xdr:from>
    <xdr:to>
      <xdr:col>17</xdr:col>
      <xdr:colOff>222250</xdr:colOff>
      <xdr:row>18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64E6E5-5725-84B7-2642-D251E60D5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12700</xdr:colOff>
      <xdr:row>4</xdr:row>
      <xdr:rowOff>12700</xdr:rowOff>
    </xdr:from>
    <xdr:to>
      <xdr:col>4</xdr:col>
      <xdr:colOff>660400</xdr:colOff>
      <xdr:row>18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26B971-6DCE-3F95-8810-6C28766F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469900</xdr:colOff>
      <xdr:row>1</xdr:row>
      <xdr:rowOff>101600</xdr:rowOff>
    </xdr:from>
    <xdr:to>
      <xdr:col>13</xdr:col>
      <xdr:colOff>171450</xdr:colOff>
      <xdr:row>1</xdr:row>
      <xdr:rowOff>374650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8629F25-261C-4F83-BDF8-F358AF369D43}"/>
            </a:ext>
          </a:extLst>
        </xdr:cNvPr>
        <xdr:cNvSpPr/>
      </xdr:nvSpPr>
      <xdr:spPr>
        <a:xfrm>
          <a:off x="7981950" y="285750"/>
          <a:ext cx="920750" cy="2730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Savings</a:t>
          </a:r>
        </a:p>
      </xdr:txBody>
    </xdr:sp>
    <xdr:clientData/>
  </xdr:twoCellAnchor>
  <xdr:twoCellAnchor>
    <xdr:from>
      <xdr:col>9</xdr:col>
      <xdr:colOff>450850</xdr:colOff>
      <xdr:row>1</xdr:row>
      <xdr:rowOff>95250</xdr:rowOff>
    </xdr:from>
    <xdr:to>
      <xdr:col>11</xdr:col>
      <xdr:colOff>152400</xdr:colOff>
      <xdr:row>1</xdr:row>
      <xdr:rowOff>368300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0DA2C-CFBB-47AC-9FCA-DDCD4C6F073B}"/>
            </a:ext>
          </a:extLst>
        </xdr:cNvPr>
        <xdr:cNvSpPr/>
      </xdr:nvSpPr>
      <xdr:spPr>
        <a:xfrm>
          <a:off x="6743700" y="27940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Expenses</a:t>
          </a:r>
        </a:p>
      </xdr:txBody>
    </xdr:sp>
    <xdr:clientData/>
  </xdr:twoCellAnchor>
  <xdr:twoCellAnchor>
    <xdr:from>
      <xdr:col>7</xdr:col>
      <xdr:colOff>488950</xdr:colOff>
      <xdr:row>1</xdr:row>
      <xdr:rowOff>88900</xdr:rowOff>
    </xdr:from>
    <xdr:to>
      <xdr:col>9</xdr:col>
      <xdr:colOff>190500</xdr:colOff>
      <xdr:row>1</xdr:row>
      <xdr:rowOff>361950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7C90DB-F056-4580-9951-280575003997}"/>
            </a:ext>
          </a:extLst>
        </xdr:cNvPr>
        <xdr:cNvSpPr/>
      </xdr:nvSpPr>
      <xdr:spPr>
        <a:xfrm>
          <a:off x="5562600" y="273050"/>
          <a:ext cx="920750" cy="273050"/>
        </a:xfrm>
        <a:prstGeom prst="rect">
          <a:avLst/>
        </a:prstGeom>
        <a:solidFill>
          <a:sysClr val="window" lastClr="FFFFFF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Income</a:t>
          </a:r>
        </a:p>
      </xdr:txBody>
    </xdr:sp>
    <xdr:clientData/>
  </xdr:twoCellAnchor>
  <xdr:twoCellAnchor>
    <xdr:from>
      <xdr:col>5</xdr:col>
      <xdr:colOff>527050</xdr:colOff>
      <xdr:row>1</xdr:row>
      <xdr:rowOff>88900</xdr:rowOff>
    </xdr:from>
    <xdr:to>
      <xdr:col>7</xdr:col>
      <xdr:colOff>228600</xdr:colOff>
      <xdr:row>1</xdr:row>
      <xdr:rowOff>361950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972DAB-3A41-4885-9E9C-22293FE2B949}"/>
            </a:ext>
          </a:extLst>
        </xdr:cNvPr>
        <xdr:cNvSpPr/>
      </xdr:nvSpPr>
      <xdr:spPr>
        <a:xfrm>
          <a:off x="4381500" y="2730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469900</xdr:colOff>
      <xdr:row>1</xdr:row>
      <xdr:rowOff>101600</xdr:rowOff>
    </xdr:from>
    <xdr:to>
      <xdr:col>13</xdr:col>
      <xdr:colOff>171450</xdr:colOff>
      <xdr:row>1</xdr:row>
      <xdr:rowOff>374650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8D9488-49D3-4A89-8276-9A0160E840E4}"/>
            </a:ext>
          </a:extLst>
        </xdr:cNvPr>
        <xdr:cNvSpPr/>
      </xdr:nvSpPr>
      <xdr:spPr>
        <a:xfrm>
          <a:off x="7981950" y="2857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Savings</a:t>
          </a:r>
        </a:p>
      </xdr:txBody>
    </xdr:sp>
    <xdr:clientData/>
  </xdr:twoCellAnchor>
  <xdr:twoCellAnchor>
    <xdr:from>
      <xdr:col>9</xdr:col>
      <xdr:colOff>450850</xdr:colOff>
      <xdr:row>1</xdr:row>
      <xdr:rowOff>95250</xdr:rowOff>
    </xdr:from>
    <xdr:to>
      <xdr:col>11</xdr:col>
      <xdr:colOff>152400</xdr:colOff>
      <xdr:row>1</xdr:row>
      <xdr:rowOff>368300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A7672E-13EF-43DA-B0AE-2E5435565E42}"/>
            </a:ext>
          </a:extLst>
        </xdr:cNvPr>
        <xdr:cNvSpPr/>
      </xdr:nvSpPr>
      <xdr:spPr>
        <a:xfrm>
          <a:off x="6743700" y="279400"/>
          <a:ext cx="920750" cy="2730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Expenses</a:t>
          </a:r>
        </a:p>
      </xdr:txBody>
    </xdr:sp>
    <xdr:clientData/>
  </xdr:twoCellAnchor>
  <xdr:twoCellAnchor>
    <xdr:from>
      <xdr:col>7</xdr:col>
      <xdr:colOff>488950</xdr:colOff>
      <xdr:row>1</xdr:row>
      <xdr:rowOff>88900</xdr:rowOff>
    </xdr:from>
    <xdr:to>
      <xdr:col>9</xdr:col>
      <xdr:colOff>190500</xdr:colOff>
      <xdr:row>1</xdr:row>
      <xdr:rowOff>361950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C690C3-554E-45FC-BEE3-A0EE765DFD0E}"/>
            </a:ext>
          </a:extLst>
        </xdr:cNvPr>
        <xdr:cNvSpPr/>
      </xdr:nvSpPr>
      <xdr:spPr>
        <a:xfrm>
          <a:off x="5562600" y="2730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Income</a:t>
          </a:r>
        </a:p>
      </xdr:txBody>
    </xdr:sp>
    <xdr:clientData/>
  </xdr:twoCellAnchor>
  <xdr:twoCellAnchor>
    <xdr:from>
      <xdr:col>5</xdr:col>
      <xdr:colOff>527050</xdr:colOff>
      <xdr:row>1</xdr:row>
      <xdr:rowOff>88900</xdr:rowOff>
    </xdr:from>
    <xdr:to>
      <xdr:col>7</xdr:col>
      <xdr:colOff>228600</xdr:colOff>
      <xdr:row>1</xdr:row>
      <xdr:rowOff>361950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D76EEF-3D99-4EAF-942C-5129845E33AB}"/>
            </a:ext>
          </a:extLst>
        </xdr:cNvPr>
        <xdr:cNvSpPr/>
      </xdr:nvSpPr>
      <xdr:spPr>
        <a:xfrm>
          <a:off x="4381500" y="2730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Summary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469900</xdr:colOff>
      <xdr:row>1</xdr:row>
      <xdr:rowOff>101600</xdr:rowOff>
    </xdr:from>
    <xdr:to>
      <xdr:col>13</xdr:col>
      <xdr:colOff>171450</xdr:colOff>
      <xdr:row>1</xdr:row>
      <xdr:rowOff>374650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86D1A-8548-C6C9-9D87-844A02CEDA49}"/>
            </a:ext>
          </a:extLst>
        </xdr:cNvPr>
        <xdr:cNvSpPr/>
      </xdr:nvSpPr>
      <xdr:spPr>
        <a:xfrm>
          <a:off x="10591800" y="2857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Savings</a:t>
          </a:r>
        </a:p>
      </xdr:txBody>
    </xdr:sp>
    <xdr:clientData/>
  </xdr:twoCellAnchor>
  <xdr:twoCellAnchor>
    <xdr:from>
      <xdr:col>9</xdr:col>
      <xdr:colOff>450850</xdr:colOff>
      <xdr:row>1</xdr:row>
      <xdr:rowOff>95250</xdr:rowOff>
    </xdr:from>
    <xdr:to>
      <xdr:col>11</xdr:col>
      <xdr:colOff>152400</xdr:colOff>
      <xdr:row>1</xdr:row>
      <xdr:rowOff>368300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9C540B-B17A-45A2-879F-1CFF556E059B}"/>
            </a:ext>
          </a:extLst>
        </xdr:cNvPr>
        <xdr:cNvSpPr/>
      </xdr:nvSpPr>
      <xdr:spPr>
        <a:xfrm>
          <a:off x="9353550" y="27940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Expenses</a:t>
          </a:r>
        </a:p>
      </xdr:txBody>
    </xdr:sp>
    <xdr:clientData/>
  </xdr:twoCellAnchor>
  <xdr:twoCellAnchor>
    <xdr:from>
      <xdr:col>7</xdr:col>
      <xdr:colOff>488950</xdr:colOff>
      <xdr:row>1</xdr:row>
      <xdr:rowOff>88900</xdr:rowOff>
    </xdr:from>
    <xdr:to>
      <xdr:col>9</xdr:col>
      <xdr:colOff>190500</xdr:colOff>
      <xdr:row>1</xdr:row>
      <xdr:rowOff>361950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CD239A7-EE4E-4907-8B0E-4269309A82AE}"/>
            </a:ext>
          </a:extLst>
        </xdr:cNvPr>
        <xdr:cNvSpPr/>
      </xdr:nvSpPr>
      <xdr:spPr>
        <a:xfrm>
          <a:off x="8172450" y="273050"/>
          <a:ext cx="920750" cy="273050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Income</a:t>
          </a:r>
        </a:p>
      </xdr:txBody>
    </xdr:sp>
    <xdr:clientData/>
  </xdr:twoCellAnchor>
  <xdr:twoCellAnchor>
    <xdr:from>
      <xdr:col>5</xdr:col>
      <xdr:colOff>527050</xdr:colOff>
      <xdr:row>1</xdr:row>
      <xdr:rowOff>88900</xdr:rowOff>
    </xdr:from>
    <xdr:to>
      <xdr:col>7</xdr:col>
      <xdr:colOff>228600</xdr:colOff>
      <xdr:row>1</xdr:row>
      <xdr:rowOff>361950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86F85F-012F-4A8F-B073-9AD2F52BD4D5}"/>
            </a:ext>
          </a:extLst>
        </xdr:cNvPr>
        <xdr:cNvSpPr/>
      </xdr:nvSpPr>
      <xdr:spPr>
        <a:xfrm>
          <a:off x="6991350" y="273050"/>
          <a:ext cx="920750" cy="273050"/>
        </a:xfrm>
        <a:prstGeom prst="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 kern="1200"/>
            <a:t>Summary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F7621B-9810-4B59-BB60-548EFBDA2109}" name="Table25" displayName="Table25" ref="B6:E8" totalsRowShown="0" headerRowDxfId="17" dataDxfId="16">
  <autoFilter ref="B6:E8" xr:uid="{47B41459-7B1B-45FE-B7BA-7D1411CD441E}"/>
  <tableColumns count="4">
    <tableColumn id="1" xr3:uid="{8C6DD33F-711B-42E7-8729-3AE5279386D2}" name="Sr No" dataDxfId="15"/>
    <tableColumn id="2" xr3:uid="{6010FA68-1846-41B3-B667-5FA92AF6949D}" name="Income Source" dataDxfId="14"/>
    <tableColumn id="3" xr3:uid="{FA77AE06-2F18-4247-8CD3-4D4F0D990E02}" name="Date" dataDxfId="13"/>
    <tableColumn id="4" xr3:uid="{A4800594-7CAD-43DC-835D-693A37F9EE28}" name="Amount" dataDxfId="1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1A90CC-2E73-4B49-AE6B-A45C9A4D3BBD}" name="Table24" displayName="Table24" ref="B6:E16" totalsRowShown="0" headerRowDxfId="11" dataDxfId="10">
  <autoFilter ref="B6:E16" xr:uid="{47B41459-7B1B-45FE-B7BA-7D1411CD441E}"/>
  <tableColumns count="4">
    <tableColumn id="1" xr3:uid="{A49F8C5F-81D8-4BF1-BABD-CA23A1C49CE3}" name="Sr No" dataDxfId="9"/>
    <tableColumn id="2" xr3:uid="{5B1E20CB-F9C9-4B3F-9973-16BA4B16C220}" name="Expenses Source" dataDxfId="8"/>
    <tableColumn id="3" xr3:uid="{FF631EDD-30AB-4DD5-B23E-691BB06FD34A}" name="Date" dataDxfId="7"/>
    <tableColumn id="4" xr3:uid="{0DC3F27B-B3F2-467D-9673-482FD7AB4DAF}" name="Amount" dataDxfId="6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B41459-7B1B-45FE-B7BA-7D1411CD441E}" name="Table2" displayName="Table2" ref="B6:E11" totalsRowShown="0" headerRowDxfId="5" dataDxfId="4">
  <autoFilter ref="B6:E11" xr:uid="{47B41459-7B1B-45FE-B7BA-7D1411CD441E}"/>
  <tableColumns count="4">
    <tableColumn id="1" xr3:uid="{20492028-7126-4080-A4AF-844DA8F8D980}" name="Sr No" dataDxfId="3"/>
    <tableColumn id="2" xr3:uid="{3800B885-4092-46C0-9897-F60AF91D66D1}" name="Income Source" dataDxfId="2"/>
    <tableColumn id="3" xr3:uid="{BD89012C-1CF1-41C4-ACC7-FD1F7D7ED977}" name="Date" dataDxfId="1"/>
    <tableColumn id="4" xr3:uid="{D8EF7259-C47C-49D2-B166-787F27C36251}" name="Amount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3E96-4CCE-4FF6-BBEA-B1643E12D7CC}">
  <dimension ref="B2:V22"/>
  <sheetViews>
    <sheetView showGridLines="0" workbookViewId="0"/>
  </sheetViews>
  <sheetFormatPr defaultRowHeight="14.5" x14ac:dyDescent="0.35"/>
  <cols>
    <col min="1" max="1" width="5.26953125" customWidth="1"/>
    <col min="2" max="2" width="16.26953125" customWidth="1"/>
    <col min="3" max="3" width="22.81640625" customWidth="1"/>
    <col min="4" max="4" width="8.7265625" customWidth="1"/>
    <col min="5" max="5" width="9.6328125" customWidth="1"/>
    <col min="8" max="8" width="8.90625" bestFit="1" customWidth="1"/>
  </cols>
  <sheetData>
    <row r="2" spans="2:22" s="1" customFormat="1" ht="38" customHeight="1" x14ac:dyDescent="0.35">
      <c r="B2" s="2" t="s">
        <v>1</v>
      </c>
      <c r="C2" s="2"/>
      <c r="D2" s="2"/>
      <c r="E2" s="2"/>
    </row>
    <row r="3" spans="2:22" x14ac:dyDescent="0.35">
      <c r="V3" s="13"/>
    </row>
    <row r="4" spans="2:22" x14ac:dyDescent="0.35">
      <c r="B4" s="9" t="s">
        <v>41</v>
      </c>
      <c r="H4" s="9" t="s">
        <v>34</v>
      </c>
      <c r="V4" s="13"/>
    </row>
    <row r="6" spans="2:22" x14ac:dyDescent="0.35">
      <c r="H6" s="10" t="s">
        <v>35</v>
      </c>
      <c r="I6" s="11"/>
      <c r="J6" s="11"/>
    </row>
    <row r="7" spans="2:22" x14ac:dyDescent="0.35">
      <c r="H7" s="3">
        <f>SUM(Table2[Amount])</f>
        <v>278490</v>
      </c>
    </row>
    <row r="8" spans="2:22" x14ac:dyDescent="0.35">
      <c r="V8" s="12"/>
    </row>
    <row r="9" spans="2:22" x14ac:dyDescent="0.35">
      <c r="H9" s="10" t="s">
        <v>36</v>
      </c>
      <c r="I9" s="11"/>
      <c r="J9" s="11"/>
      <c r="V9" s="12"/>
    </row>
    <row r="10" spans="2:22" x14ac:dyDescent="0.35">
      <c r="H10" s="3">
        <f>SUM(Table24[Amount])</f>
        <v>15376</v>
      </c>
    </row>
    <row r="12" spans="2:22" x14ac:dyDescent="0.35">
      <c r="H12" s="10" t="s">
        <v>37</v>
      </c>
      <c r="I12" s="11"/>
      <c r="J12" s="11"/>
    </row>
    <row r="13" spans="2:22" x14ac:dyDescent="0.35">
      <c r="H13" s="3">
        <f>SUM(Table25[Amount])</f>
        <v>150000</v>
      </c>
    </row>
    <row r="15" spans="2:22" x14ac:dyDescent="0.35">
      <c r="H15" s="9" t="s">
        <v>38</v>
      </c>
    </row>
    <row r="16" spans="2:22" x14ac:dyDescent="0.35">
      <c r="H16" s="3">
        <f>H7-H10-H13</f>
        <v>113114</v>
      </c>
    </row>
    <row r="21" spans="2:3" x14ac:dyDescent="0.35">
      <c r="B21" s="9" t="s">
        <v>39</v>
      </c>
      <c r="C21" s="12">
        <f>H10/H7</f>
        <v>5.521203633882725E-2</v>
      </c>
    </row>
    <row r="22" spans="2:3" x14ac:dyDescent="0.35">
      <c r="B22" s="9" t="s">
        <v>40</v>
      </c>
      <c r="C22" s="12">
        <f>1-6%</f>
        <v>0.94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EED4-8689-4B1B-89CF-728251C1C74C}">
  <dimension ref="B2:E11"/>
  <sheetViews>
    <sheetView workbookViewId="0"/>
  </sheetViews>
  <sheetFormatPr defaultRowHeight="14.5" x14ac:dyDescent="0.35"/>
  <cols>
    <col min="1" max="1" width="5.26953125" customWidth="1"/>
    <col min="2" max="2" width="13" customWidth="1"/>
    <col min="3" max="3" width="22.81640625" customWidth="1"/>
    <col min="4" max="4" width="15.453125" customWidth="1"/>
    <col min="5" max="5" width="15.36328125" customWidth="1"/>
  </cols>
  <sheetData>
    <row r="2" spans="2:5" s="1" customFormat="1" ht="38" customHeight="1" x14ac:dyDescent="0.35">
      <c r="B2" s="2" t="s">
        <v>1</v>
      </c>
      <c r="C2" s="2"/>
      <c r="D2" s="2"/>
      <c r="E2" s="2"/>
    </row>
    <row r="4" spans="2:5" x14ac:dyDescent="0.35">
      <c r="B4" t="s">
        <v>2</v>
      </c>
    </row>
    <row r="6" spans="2:5" x14ac:dyDescent="0.35">
      <c r="B6" s="7" t="s">
        <v>4</v>
      </c>
      <c r="C6" s="7" t="s">
        <v>5</v>
      </c>
      <c r="D6" s="7" t="s">
        <v>3</v>
      </c>
      <c r="E6" s="7" t="s">
        <v>6</v>
      </c>
    </row>
    <row r="7" spans="2:5" x14ac:dyDescent="0.35">
      <c r="B7" s="7">
        <v>1</v>
      </c>
      <c r="C7" s="7" t="s">
        <v>16</v>
      </c>
      <c r="D7" s="7" t="s">
        <v>32</v>
      </c>
      <c r="E7" s="8">
        <v>100000</v>
      </c>
    </row>
    <row r="8" spans="2:5" x14ac:dyDescent="0.35">
      <c r="B8" s="7">
        <v>2</v>
      </c>
      <c r="C8" s="7" t="s">
        <v>31</v>
      </c>
      <c r="D8" s="7" t="s">
        <v>33</v>
      </c>
      <c r="E8" s="8">
        <v>50000</v>
      </c>
    </row>
    <row r="9" spans="2:5" x14ac:dyDescent="0.35">
      <c r="B9" s="7"/>
      <c r="C9" s="7"/>
      <c r="D9" s="7"/>
      <c r="E9" s="7"/>
    </row>
    <row r="10" spans="2:5" x14ac:dyDescent="0.35">
      <c r="B10" s="7"/>
      <c r="C10" s="7"/>
      <c r="D10" s="7"/>
      <c r="E10" s="7"/>
    </row>
    <row r="11" spans="2:5" x14ac:dyDescent="0.35">
      <c r="B11" s="7"/>
      <c r="C11" s="7"/>
      <c r="D11" s="7"/>
      <c r="E11" s="7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3FED-70AC-45A3-B6A0-60F18EA93525}">
  <dimension ref="B2:E16"/>
  <sheetViews>
    <sheetView workbookViewId="0"/>
  </sheetViews>
  <sheetFormatPr defaultRowHeight="14.5" x14ac:dyDescent="0.35"/>
  <cols>
    <col min="1" max="1" width="5.26953125" customWidth="1"/>
    <col min="2" max="2" width="11.81640625" customWidth="1"/>
    <col min="3" max="3" width="22.81640625" customWidth="1"/>
    <col min="4" max="4" width="12.6328125" customWidth="1"/>
    <col min="5" max="5" width="14.453125" customWidth="1"/>
  </cols>
  <sheetData>
    <row r="2" spans="2:5" s="1" customFormat="1" ht="38" customHeight="1" x14ac:dyDescent="0.35">
      <c r="B2" s="2" t="s">
        <v>1</v>
      </c>
      <c r="C2" s="2"/>
      <c r="D2" s="2"/>
      <c r="E2" s="2"/>
    </row>
    <row r="4" spans="2:5" x14ac:dyDescent="0.35">
      <c r="B4" t="s">
        <v>7</v>
      </c>
    </row>
    <row r="6" spans="2:5" x14ac:dyDescent="0.35">
      <c r="B6" s="5" t="s">
        <v>4</v>
      </c>
      <c r="C6" s="5" t="s">
        <v>8</v>
      </c>
      <c r="D6" s="5" t="s">
        <v>3</v>
      </c>
      <c r="E6" s="5" t="s">
        <v>6</v>
      </c>
    </row>
    <row r="7" spans="2:5" x14ac:dyDescent="0.35">
      <c r="B7" s="5">
        <v>1</v>
      </c>
      <c r="C7" s="5" t="s">
        <v>0</v>
      </c>
      <c r="D7" s="5" t="s">
        <v>30</v>
      </c>
      <c r="E7" s="6">
        <v>635</v>
      </c>
    </row>
    <row r="8" spans="2:5" x14ac:dyDescent="0.35">
      <c r="B8" s="5">
        <v>2</v>
      </c>
      <c r="C8" s="5" t="s">
        <v>19</v>
      </c>
      <c r="D8" s="5" t="s">
        <v>28</v>
      </c>
      <c r="E8" s="6">
        <v>765</v>
      </c>
    </row>
    <row r="9" spans="2:5" x14ac:dyDescent="0.35">
      <c r="B9" s="5">
        <v>3</v>
      </c>
      <c r="C9" s="5" t="s">
        <v>20</v>
      </c>
      <c r="D9" s="5" t="s">
        <v>28</v>
      </c>
      <c r="E9" s="6">
        <v>435</v>
      </c>
    </row>
    <row r="10" spans="2:5" x14ac:dyDescent="0.35">
      <c r="B10" s="5">
        <v>4</v>
      </c>
      <c r="C10" s="5" t="s">
        <v>21</v>
      </c>
      <c r="D10" s="5" t="s">
        <v>28</v>
      </c>
      <c r="E10" s="6">
        <v>536</v>
      </c>
    </row>
    <row r="11" spans="2:5" x14ac:dyDescent="0.35">
      <c r="B11" s="5">
        <v>5</v>
      </c>
      <c r="C11" s="5" t="s">
        <v>22</v>
      </c>
      <c r="D11" s="5" t="s">
        <v>28</v>
      </c>
      <c r="E11" s="6">
        <v>3537</v>
      </c>
    </row>
    <row r="12" spans="2:5" x14ac:dyDescent="0.35">
      <c r="B12" s="5">
        <v>6</v>
      </c>
      <c r="C12" s="5" t="s">
        <v>23</v>
      </c>
      <c r="D12" s="5" t="s">
        <v>28</v>
      </c>
      <c r="E12" s="6">
        <v>736</v>
      </c>
    </row>
    <row r="13" spans="2:5" x14ac:dyDescent="0.35">
      <c r="B13" s="5">
        <v>7</v>
      </c>
      <c r="C13" s="5" t="s">
        <v>24</v>
      </c>
      <c r="D13" s="5" t="s">
        <v>28</v>
      </c>
      <c r="E13" s="6">
        <v>364</v>
      </c>
    </row>
    <row r="14" spans="2:5" x14ac:dyDescent="0.35">
      <c r="B14" s="5">
        <v>8</v>
      </c>
      <c r="C14" s="5" t="s">
        <v>25</v>
      </c>
      <c r="D14" s="5" t="s">
        <v>28</v>
      </c>
      <c r="E14" s="6">
        <v>7356</v>
      </c>
    </row>
    <row r="15" spans="2:5" x14ac:dyDescent="0.35">
      <c r="B15" s="5">
        <v>9</v>
      </c>
      <c r="C15" s="5" t="s">
        <v>26</v>
      </c>
      <c r="D15" s="5" t="s">
        <v>28</v>
      </c>
      <c r="E15" s="6">
        <v>637</v>
      </c>
    </row>
    <row r="16" spans="2:5" x14ac:dyDescent="0.35">
      <c r="B16" s="5">
        <v>10</v>
      </c>
      <c r="C16" s="5" t="s">
        <v>27</v>
      </c>
      <c r="D16" s="5" t="s">
        <v>29</v>
      </c>
      <c r="E16" s="6">
        <v>375</v>
      </c>
    </row>
  </sheetData>
  <phoneticPr fontId="5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E74A-0657-4CC1-A18D-9EA8FEEF0EE2}">
  <dimension ref="B2:E12"/>
  <sheetViews>
    <sheetView tabSelected="1" workbookViewId="0"/>
  </sheetViews>
  <sheetFormatPr defaultRowHeight="14.5" x14ac:dyDescent="0.35"/>
  <cols>
    <col min="1" max="1" width="5.26953125" customWidth="1"/>
    <col min="2" max="2" width="8.7265625" customWidth="1"/>
    <col min="3" max="3" width="22.81640625" customWidth="1"/>
    <col min="4" max="4" width="13" customWidth="1"/>
    <col min="5" max="5" width="14.26953125" customWidth="1"/>
  </cols>
  <sheetData>
    <row r="2" spans="2:5" s="1" customFormat="1" ht="38" customHeight="1" x14ac:dyDescent="0.35">
      <c r="B2" s="2" t="s">
        <v>1</v>
      </c>
      <c r="C2" s="2"/>
      <c r="D2" s="2"/>
      <c r="E2" s="2"/>
    </row>
    <row r="4" spans="2:5" x14ac:dyDescent="0.35">
      <c r="B4" t="s">
        <v>2</v>
      </c>
    </row>
    <row r="6" spans="2:5" x14ac:dyDescent="0.35">
      <c r="B6" s="5" t="s">
        <v>4</v>
      </c>
      <c r="C6" s="5" t="s">
        <v>5</v>
      </c>
      <c r="D6" s="5" t="s">
        <v>3</v>
      </c>
      <c r="E6" s="5" t="s">
        <v>6</v>
      </c>
    </row>
    <row r="7" spans="2:5" x14ac:dyDescent="0.35">
      <c r="B7" s="5">
        <v>1</v>
      </c>
      <c r="C7" s="5" t="s">
        <v>15</v>
      </c>
      <c r="D7" s="5" t="s">
        <v>10</v>
      </c>
      <c r="E7" s="6">
        <v>10000</v>
      </c>
    </row>
    <row r="8" spans="2:5" x14ac:dyDescent="0.35">
      <c r="B8" s="5">
        <v>2</v>
      </c>
      <c r="C8" s="5" t="s">
        <v>16</v>
      </c>
      <c r="D8" s="5" t="s">
        <v>11</v>
      </c>
      <c r="E8" s="6">
        <v>150000</v>
      </c>
    </row>
    <row r="9" spans="2:5" x14ac:dyDescent="0.35">
      <c r="B9" s="5">
        <v>3</v>
      </c>
      <c r="C9" s="5" t="s">
        <v>17</v>
      </c>
      <c r="D9" s="5" t="s">
        <v>12</v>
      </c>
      <c r="E9" s="6">
        <v>45000</v>
      </c>
    </row>
    <row r="10" spans="2:5" x14ac:dyDescent="0.35">
      <c r="B10" s="5">
        <v>4</v>
      </c>
      <c r="C10" s="5" t="s">
        <v>18</v>
      </c>
      <c r="D10" s="5" t="s">
        <v>13</v>
      </c>
      <c r="E10" s="6">
        <v>7600</v>
      </c>
    </row>
    <row r="11" spans="2:5" x14ac:dyDescent="0.35">
      <c r="B11" s="5">
        <v>5</v>
      </c>
      <c r="C11" s="5" t="s">
        <v>9</v>
      </c>
      <c r="D11" s="5" t="s">
        <v>14</v>
      </c>
      <c r="E11" s="6">
        <v>65890</v>
      </c>
    </row>
    <row r="12" spans="2:5" x14ac:dyDescent="0.35">
      <c r="E12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Savings</vt:lpstr>
      <vt:lpstr>Expenses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dcterms:created xsi:type="dcterms:W3CDTF">2025-01-10T13:59:40Z</dcterms:created>
  <dcterms:modified xsi:type="dcterms:W3CDTF">2025-01-10T15:56:13Z</dcterms:modified>
</cp:coreProperties>
</file>