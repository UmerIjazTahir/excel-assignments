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4063909d2f125/Desktop/"/>
    </mc:Choice>
  </mc:AlternateContent>
  <xr:revisionPtr revIDLastSave="0" documentId="8_{5F0F4684-137A-403B-85B7-62D2D9FB89EC}" xr6:coauthVersionLast="47" xr6:coauthVersionMax="47" xr10:uidLastSave="{00000000-0000-0000-0000-000000000000}"/>
  <bookViews>
    <workbookView xWindow="-110" yWindow="-110" windowWidth="19420" windowHeight="10300" xr2:uid="{5EE9285A-C4B7-48FA-8B26-69349AE0064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</calcChain>
</file>

<file path=xl/sharedStrings.xml><?xml version="1.0" encoding="utf-8"?>
<sst xmlns="http://schemas.openxmlformats.org/spreadsheetml/2006/main" count="256" uniqueCount="39">
  <si>
    <t>Employee Name</t>
  </si>
  <si>
    <t>Total Present</t>
  </si>
  <si>
    <t>Attendance Percentage</t>
  </si>
  <si>
    <t>Present</t>
  </si>
  <si>
    <t>Absent</t>
  </si>
  <si>
    <t>Leave</t>
  </si>
  <si>
    <t>Ahmad</t>
  </si>
  <si>
    <t>Ali</t>
  </si>
  <si>
    <t>Fatima</t>
  </si>
  <si>
    <t>Sara</t>
  </si>
  <si>
    <t>Yusuf</t>
  </si>
  <si>
    <t>AbuBakar</t>
  </si>
  <si>
    <t>Khalid</t>
  </si>
  <si>
    <t>Layla</t>
  </si>
  <si>
    <t>Nora</t>
  </si>
  <si>
    <t>Adil</t>
  </si>
  <si>
    <t>1-Jan</t>
  </si>
  <si>
    <t>2-Jan</t>
  </si>
  <si>
    <t>3-Jan</t>
  </si>
  <si>
    <t>6-Jan</t>
  </si>
  <si>
    <t>7-Jan</t>
  </si>
  <si>
    <t>8-Jan</t>
  </si>
  <si>
    <t>9-Jan</t>
  </si>
  <si>
    <t>12-Jan</t>
  </si>
  <si>
    <t>13-Jan</t>
  </si>
  <si>
    <t>14-Jan</t>
  </si>
  <si>
    <t>15-Jan</t>
  </si>
  <si>
    <t>16-Jan</t>
  </si>
  <si>
    <t>19-Jan</t>
  </si>
  <si>
    <t>20-Jan</t>
  </si>
  <si>
    <t>21-Jan</t>
  </si>
  <si>
    <t>22-Jan</t>
  </si>
  <si>
    <t>23-Jan</t>
  </si>
  <si>
    <t>26-Jan</t>
  </si>
  <si>
    <t>27-Jan</t>
  </si>
  <si>
    <t>28-Jan</t>
  </si>
  <si>
    <t>29-Jan</t>
  </si>
  <si>
    <t>30-Jan</t>
  </si>
  <si>
    <t>Chart For Employe's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</si>
</sst>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  <xf numFmtId="0" fontId="0" fillId="0" borderId="3" xfId="0" applyBorder="1"/>
    <xf numFmtId="16" fontId="2" fillId="2" borderId="4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16" fontId="2" fillId="2" borderId="9" xfId="0" applyNumberFormat="1" applyFont="1" applyFill="1" applyBorder="1" applyAlignment="1">
      <alignment horizontal="center"/>
    </xf>
    <xf numFmtId="16" fontId="2" fillId="2" borderId="7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6" fontId="2" fillId="2" borderId="10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NumberForma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2" fillId="2" borderId="10" xfId="1" applyFont="1" applyFill="1" applyBorder="1" applyAlignment="1">
      <alignment horizontal="center"/>
    </xf>
    <xf numFmtId="0" fontId="3" fillId="2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58"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1" formatCode="d\-mmm"/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Attendance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Sheet1!$A$2:$W$11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Ahmad</c:v>
                </c:pt>
                <c:pt idx="1">
                  <c:v>Ali</c:v>
                </c:pt>
                <c:pt idx="2">
                  <c:v>Fatima</c:v>
                </c:pt>
                <c:pt idx="3">
                  <c:v>Sara</c:v>
                </c:pt>
                <c:pt idx="4">
                  <c:v>Yusuf</c:v>
                </c:pt>
                <c:pt idx="5">
                  <c:v>AbuBakar</c:v>
                </c:pt>
                <c:pt idx="6">
                  <c:v>Khalid</c:v>
                </c:pt>
                <c:pt idx="7">
                  <c:v>Layla</c:v>
                </c:pt>
                <c:pt idx="8">
                  <c:v>Nora</c:v>
                </c:pt>
                <c:pt idx="9">
                  <c:v>Adil</c:v>
                </c:pt>
              </c:strCache>
            </c:strRef>
          </c:cat>
          <c:val>
            <c:numRef>
              <c:f>Sheet1!$X$2:$X$11</c:f>
              <c:numCache>
                <c:formatCode>General</c:formatCode>
                <c:ptCount val="10"/>
                <c:pt idx="0">
                  <c:v>12</c:v>
                </c:pt>
                <c:pt idx="1">
                  <c:v>16</c:v>
                </c:pt>
                <c:pt idx="2">
                  <c:v>15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13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B-49D1-85AC-B0A27FAF04B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Sheet1!$A$2:$W$11</c15:sqref>
                  </c15:fullRef>
                  <c15:levelRef>
                    <c15:sqref>Sheet1!$A$2:$A$11</c15:sqref>
                  </c15:levelRef>
                </c:ext>
              </c:extLst>
              <c:f>Sheet1!$A$2:$A$11</c:f>
              <c:strCache>
                <c:ptCount val="10"/>
                <c:pt idx="0">
                  <c:v>Ahmad</c:v>
                </c:pt>
                <c:pt idx="1">
                  <c:v>Ali</c:v>
                </c:pt>
                <c:pt idx="2">
                  <c:v>Fatima</c:v>
                </c:pt>
                <c:pt idx="3">
                  <c:v>Sara</c:v>
                </c:pt>
                <c:pt idx="4">
                  <c:v>Yusuf</c:v>
                </c:pt>
                <c:pt idx="5">
                  <c:v>AbuBakar</c:v>
                </c:pt>
                <c:pt idx="6">
                  <c:v>Khalid</c:v>
                </c:pt>
                <c:pt idx="7">
                  <c:v>Layla</c:v>
                </c:pt>
                <c:pt idx="8">
                  <c:v>Nora</c:v>
                </c:pt>
                <c:pt idx="9">
                  <c:v>Adil</c:v>
                </c:pt>
              </c:strCache>
            </c:strRef>
          </c:cat>
          <c:val>
            <c:numRef>
              <c:f>Sheet1!$Y$2:$Y$11</c:f>
              <c:numCache>
                <c:formatCode>0%</c:formatCode>
                <c:ptCount val="10"/>
                <c:pt idx="0">
                  <c:v>0.5</c:v>
                </c:pt>
                <c:pt idx="1">
                  <c:v>0.72727272727272729</c:v>
                </c:pt>
                <c:pt idx="2">
                  <c:v>0.68181818181818177</c:v>
                </c:pt>
                <c:pt idx="3">
                  <c:v>0.59090909090909094</c:v>
                </c:pt>
                <c:pt idx="4">
                  <c:v>0.59090909090909094</c:v>
                </c:pt>
                <c:pt idx="5">
                  <c:v>0.68181818181818177</c:v>
                </c:pt>
                <c:pt idx="6">
                  <c:v>0.68181818181818177</c:v>
                </c:pt>
                <c:pt idx="7">
                  <c:v>0.77272727272727271</c:v>
                </c:pt>
                <c:pt idx="8">
                  <c:v>0.54545454545454541</c:v>
                </c:pt>
                <c:pt idx="9">
                  <c:v>0.72727272727272729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CB-49D1-85AC-B0A27FAF0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2923135"/>
        <c:axId val="632924095"/>
      </c:barChart>
      <c:catAx>
        <c:axId val="632923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24095"/>
        <c:crosses val="autoZero"/>
        <c:auto val="1"/>
        <c:lblAlgn val="ctr"/>
        <c:lblOffset val="100"/>
        <c:noMultiLvlLbl val="0"/>
      </c:catAx>
      <c:valAx>
        <c:axId val="63292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92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114300</xdr:rowOff>
    </xdr:from>
    <xdr:to>
      <xdr:col>13</xdr:col>
      <xdr:colOff>596900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04BA8B-833A-462D-BD32-16148ADB4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CFCC3-0CE2-4E82-A570-1EFEC1BBA984}" name="Table1" displayName="Table1" ref="B1:B11" totalsRowShown="0" headerRowDxfId="53" headerRowBorderDxfId="56" tableBorderDxfId="57" totalsRowBorderDxfId="55">
  <autoFilter ref="B1:B11" xr:uid="{6B5CFCC3-0CE2-4E82-A570-1EFEC1BBA984}"/>
  <tableColumns count="1">
    <tableColumn id="1" xr3:uid="{C2FFA194-0286-4612-AD37-FD70046FD91C}" name="1-Jan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7118B61-2623-4B70-B9B2-A8092FDFAC52}" name="Table3" displayName="Table3" ref="C1:D11" totalsRowShown="0" headerRowDxfId="47" headerRowBorderDxfId="51" tableBorderDxfId="52" totalsRowBorderDxfId="50">
  <autoFilter ref="C1:D11" xr:uid="{37118B61-2623-4B70-B9B2-A8092FDFAC52}"/>
  <tableColumns count="2">
    <tableColumn id="1" xr3:uid="{E2332F7A-5BA4-4EC4-96E4-2881FD96D7D9}" name="2-Jan" dataDxfId="49"/>
    <tableColumn id="2" xr3:uid="{32DCE617-B80A-4C22-A745-07276D0F4095}" name="3-Jan" dataDxfId="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C25031-9E12-48B4-B033-A3868702116D}" name="Table4" displayName="Table4" ref="E1:H11" totalsRowShown="0" headerRowDxfId="39" headerRowBorderDxfId="45" tableBorderDxfId="46" totalsRowBorderDxfId="44">
  <autoFilter ref="E1:H11" xr:uid="{57C25031-9E12-48B4-B033-A3868702116D}"/>
  <tableColumns count="4">
    <tableColumn id="1" xr3:uid="{870241F8-0194-4D05-87AF-476857DB9877}" name="6-Jan" dataDxfId="43"/>
    <tableColumn id="2" xr3:uid="{D7BAE7E3-6C2F-43B7-A90D-2C6D5926CAAF}" name="7-Jan" dataDxfId="42"/>
    <tableColumn id="3" xr3:uid="{DA895466-51E5-44A9-AA12-E5D9B11AE7AE}" name="8-Jan" dataDxfId="41"/>
    <tableColumn id="4" xr3:uid="{4B7F5408-BC53-4E95-9F54-71FBC3C3F0D2}" name="9-Jan" dataDxfId="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15C87A-EBED-4F28-94DD-D6968E706756}" name="Table5" displayName="Table5" ref="I1:M11" totalsRowShown="0" headerRowDxfId="30" headerRowBorderDxfId="37" tableBorderDxfId="38" totalsRowBorderDxfId="36">
  <autoFilter ref="I1:M11" xr:uid="{1515C87A-EBED-4F28-94DD-D6968E706756}"/>
  <tableColumns count="5">
    <tableColumn id="1" xr3:uid="{06DC5B52-F900-49A3-87BA-23F1B72A2775}" name="12-Jan" dataDxfId="35"/>
    <tableColumn id="2" xr3:uid="{3D9881A6-F639-48D3-ABEE-F186FC5329CA}" name="13-Jan" dataDxfId="34"/>
    <tableColumn id="3" xr3:uid="{61C5C6B6-17CD-4D86-9B4B-95234BAA88F4}" name="14-Jan" dataDxfId="33"/>
    <tableColumn id="4" xr3:uid="{1F8CC5FC-F952-4F4E-9CCB-B8B318A2F3EC}" name="15-Jan" dataDxfId="32"/>
    <tableColumn id="5" xr3:uid="{8C47FD50-0FA6-4449-8EA7-3007FFADE454}" name="16-Jan" dataDxfId="3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60DDB1-A9B9-4C58-9255-26E424C1A383}" name="Table6" displayName="Table6" ref="N1:R11" totalsRowShown="0" headerRowDxfId="21" headerRowBorderDxfId="28" tableBorderDxfId="29" totalsRowBorderDxfId="27">
  <autoFilter ref="N1:R11" xr:uid="{F060DDB1-A9B9-4C58-9255-26E424C1A383}"/>
  <tableColumns count="5">
    <tableColumn id="1" xr3:uid="{FC9EC8EF-EF21-4DF8-A6DF-EEBE1BE51266}" name="19-Jan" dataDxfId="26"/>
    <tableColumn id="2" xr3:uid="{22606A48-2910-4115-A1E8-4822D0C3EC80}" name="20-Jan" dataDxfId="25"/>
    <tableColumn id="3" xr3:uid="{9F4E5BCC-C140-40D4-91F7-B9BF48276A1E}" name="21-Jan" dataDxfId="24"/>
    <tableColumn id="4" xr3:uid="{A9E61389-0132-4180-9211-A7F46255F624}" name="22-Jan" dataDxfId="23"/>
    <tableColumn id="5" xr3:uid="{9918BB55-F9AD-45F3-A23A-5315CCC1E460}" name="23-Jan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2B51B9-53D6-4F92-95DD-5FB90765AE50}" name="Table7" displayName="Table7" ref="S1:W11" totalsRowShown="0" headerRowDxfId="12" headerRowBorderDxfId="19" tableBorderDxfId="20" totalsRowBorderDxfId="18">
  <autoFilter ref="S1:W11" xr:uid="{522B51B9-53D6-4F92-95DD-5FB90765AE50}"/>
  <tableColumns count="5">
    <tableColumn id="1" xr3:uid="{CCD973EB-8980-4EF2-9F76-60384969EBE4}" name="26-Jan" dataDxfId="17"/>
    <tableColumn id="2" xr3:uid="{41B142DB-9A37-402C-B553-88069E90B53D}" name="27-Jan" dataDxfId="16"/>
    <tableColumn id="3" xr3:uid="{4A6C799D-1776-4AD4-8792-D1BBFF514E7D}" name="28-Jan" dataDxfId="15"/>
    <tableColumn id="4" xr3:uid="{C86FE345-1C60-4E55-A68B-17689B963A72}" name="29-Jan" dataDxfId="14"/>
    <tableColumn id="5" xr3:uid="{83633326-D86A-4F52-8049-6E50B399D710}" name="30-Jan" dataDxfId="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498CB5B-5247-437A-BEA0-FCC2365EA393}" name="Table8" displayName="Table8" ref="A1:A11" totalsRowShown="0" headerRowDxfId="6" dataDxfId="7" headerRowBorderDxfId="10" tableBorderDxfId="11" totalsRowBorderDxfId="9">
  <autoFilter ref="A1:A11" xr:uid="{E498CB5B-5247-437A-BEA0-FCC2365EA393}"/>
  <tableColumns count="1">
    <tableColumn id="1" xr3:uid="{B8A9E1D1-8F6B-4816-A741-D742D081F9F1}" name="Employee Name" dataDxfId="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7EB4437-1833-45AA-AB79-0EDEEB7E9E46}" name="Table9" displayName="Table9" ref="X1:Y11" totalsRowShown="0" headerRowDxfId="2" headerRowBorderDxfId="4" tableBorderDxfId="5" totalsRowBorderDxfId="3">
  <autoFilter ref="X1:Y11" xr:uid="{17EB4437-1833-45AA-AB79-0EDEEB7E9E46}"/>
  <tableColumns count="2">
    <tableColumn id="1" xr3:uid="{D963BEDC-92A0-4A95-951F-A432558553FD}" name="Total Present" dataDxfId="1"/>
    <tableColumn id="2" xr3:uid="{306FA543-490E-4503-B1FA-9C2BEDE12216}" name="Attendance Percentage" dataDxfId="0" dataCellStyle="Percent">
      <calculatedColumnFormula>COUNTIF(B2:W2, "Present") / COUNTA(B2:W2) * 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6CAF-09C1-4E31-8BEB-20C95998A3EB}">
  <dimension ref="A1:AB11"/>
  <sheetViews>
    <sheetView tabSelected="1" zoomScale="120" zoomScaleNormal="120" workbookViewId="0">
      <selection activeCell="A2" sqref="A2:Y11"/>
    </sheetView>
  </sheetViews>
  <sheetFormatPr defaultRowHeight="14.5" x14ac:dyDescent="0.35"/>
  <cols>
    <col min="1" max="1" width="16.36328125" customWidth="1"/>
    <col min="2" max="2" width="11.08984375" customWidth="1"/>
    <col min="3" max="3" width="10.1796875" customWidth="1"/>
    <col min="4" max="4" width="12.54296875" customWidth="1"/>
    <col min="5" max="5" width="11" customWidth="1"/>
    <col min="6" max="6" width="10.6328125" customWidth="1"/>
    <col min="7" max="7" width="11.36328125" customWidth="1"/>
    <col min="8" max="8" width="14.08984375" customWidth="1"/>
    <col min="9" max="9" width="11.54296875" customWidth="1"/>
    <col min="10" max="10" width="10.90625" customWidth="1"/>
    <col min="11" max="11" width="11" customWidth="1"/>
    <col min="12" max="12" width="10.54296875" customWidth="1"/>
    <col min="13" max="13" width="11.6328125" customWidth="1"/>
    <col min="14" max="14" width="10.81640625" customWidth="1"/>
    <col min="15" max="15" width="11.90625" customWidth="1"/>
    <col min="16" max="16" width="11.453125" customWidth="1"/>
    <col min="17" max="17" width="11.36328125" customWidth="1"/>
    <col min="18" max="18" width="12.1796875" customWidth="1"/>
    <col min="19" max="19" width="11.54296875" customWidth="1"/>
    <col min="20" max="20" width="11" customWidth="1"/>
    <col min="21" max="21" width="11.453125" customWidth="1"/>
    <col min="22" max="22" width="10.81640625" customWidth="1"/>
    <col min="23" max="23" width="11.453125" customWidth="1"/>
    <col min="24" max="24" width="17.08984375" customWidth="1"/>
    <col min="25" max="25" width="24.6328125" customWidth="1"/>
  </cols>
  <sheetData>
    <row r="1" spans="1:28" x14ac:dyDescent="0.35">
      <c r="A1" s="17" t="s">
        <v>0</v>
      </c>
      <c r="B1" s="6" t="s">
        <v>16</v>
      </c>
      <c r="C1" s="10" t="s">
        <v>17</v>
      </c>
      <c r="D1" s="14" t="s">
        <v>18</v>
      </c>
      <c r="E1" s="10" t="s">
        <v>19</v>
      </c>
      <c r="F1" s="11" t="s">
        <v>20</v>
      </c>
      <c r="G1" s="11" t="s">
        <v>21</v>
      </c>
      <c r="H1" s="14" t="s">
        <v>22</v>
      </c>
      <c r="I1" s="10" t="s">
        <v>23</v>
      </c>
      <c r="J1" s="11" t="s">
        <v>24</v>
      </c>
      <c r="K1" s="11" t="s">
        <v>25</v>
      </c>
      <c r="L1" s="11" t="s">
        <v>26</v>
      </c>
      <c r="M1" s="14" t="s">
        <v>27</v>
      </c>
      <c r="N1" s="10" t="s">
        <v>28</v>
      </c>
      <c r="O1" s="11" t="s">
        <v>29</v>
      </c>
      <c r="P1" s="11" t="s">
        <v>30</v>
      </c>
      <c r="Q1" s="11" t="s">
        <v>31</v>
      </c>
      <c r="R1" s="14" t="s">
        <v>32</v>
      </c>
      <c r="S1" s="10" t="s">
        <v>33</v>
      </c>
      <c r="T1" s="11" t="s">
        <v>34</v>
      </c>
      <c r="U1" s="11" t="s">
        <v>35</v>
      </c>
      <c r="V1" s="11" t="s">
        <v>36</v>
      </c>
      <c r="W1" s="14" t="s">
        <v>37</v>
      </c>
      <c r="X1" s="20" t="s">
        <v>1</v>
      </c>
      <c r="Y1" s="23" t="s">
        <v>2</v>
      </c>
    </row>
    <row r="2" spans="1:28" ht="14.5" customHeight="1" x14ac:dyDescent="0.35">
      <c r="A2" s="16" t="s">
        <v>6</v>
      </c>
      <c r="B2" s="5" t="s">
        <v>3</v>
      </c>
      <c r="C2" s="4" t="s">
        <v>4</v>
      </c>
      <c r="D2" s="9" t="s">
        <v>3</v>
      </c>
      <c r="E2" s="4" t="s">
        <v>4</v>
      </c>
      <c r="F2" s="2" t="s">
        <v>3</v>
      </c>
      <c r="G2" s="2" t="s">
        <v>3</v>
      </c>
      <c r="H2" s="9" t="s">
        <v>3</v>
      </c>
      <c r="I2" s="4" t="s">
        <v>5</v>
      </c>
      <c r="J2" s="2" t="s">
        <v>4</v>
      </c>
      <c r="K2" s="2" t="s">
        <v>3</v>
      </c>
      <c r="L2" s="2" t="s">
        <v>3</v>
      </c>
      <c r="M2" s="9" t="s">
        <v>4</v>
      </c>
      <c r="N2" s="4" t="s">
        <v>4</v>
      </c>
      <c r="O2" s="2" t="s">
        <v>3</v>
      </c>
      <c r="P2" s="2" t="s">
        <v>3</v>
      </c>
      <c r="Q2" s="2" t="s">
        <v>5</v>
      </c>
      <c r="R2" s="9" t="s">
        <v>4</v>
      </c>
      <c r="S2" s="4" t="s">
        <v>4</v>
      </c>
      <c r="T2" s="2" t="s">
        <v>5</v>
      </c>
      <c r="U2" s="2" t="s">
        <v>3</v>
      </c>
      <c r="V2" s="2" t="s">
        <v>4</v>
      </c>
      <c r="W2" s="9" t="s">
        <v>3</v>
      </c>
      <c r="X2" s="15">
        <v>12</v>
      </c>
      <c r="Y2" s="22">
        <f t="shared" ref="Y2:Y11" si="0">COUNTIF(B2:W2, "Present") / COUNTA(B2:W2) * 1</f>
        <v>0.5</v>
      </c>
    </row>
    <row r="3" spans="1:28" x14ac:dyDescent="0.35">
      <c r="A3" s="16" t="s">
        <v>7</v>
      </c>
      <c r="B3" s="5" t="s">
        <v>4</v>
      </c>
      <c r="C3" s="4" t="s">
        <v>3</v>
      </c>
      <c r="D3" s="9" t="s">
        <v>3</v>
      </c>
      <c r="E3" s="4" t="s">
        <v>3</v>
      </c>
      <c r="F3" s="2" t="s">
        <v>3</v>
      </c>
      <c r="G3" s="2" t="s">
        <v>5</v>
      </c>
      <c r="H3" s="9" t="s">
        <v>4</v>
      </c>
      <c r="I3" s="4" t="s">
        <v>3</v>
      </c>
      <c r="J3" s="2" t="s">
        <v>3</v>
      </c>
      <c r="K3" s="2" t="s">
        <v>4</v>
      </c>
      <c r="L3" s="2" t="s">
        <v>3</v>
      </c>
      <c r="M3" s="9" t="s">
        <v>3</v>
      </c>
      <c r="N3" s="4" t="s">
        <v>3</v>
      </c>
      <c r="O3" s="2" t="s">
        <v>4</v>
      </c>
      <c r="P3" s="2" t="s">
        <v>3</v>
      </c>
      <c r="Q3" s="2" t="s">
        <v>3</v>
      </c>
      <c r="R3" s="9" t="s">
        <v>3</v>
      </c>
      <c r="S3" s="4" t="s">
        <v>3</v>
      </c>
      <c r="T3" s="2" t="s">
        <v>4</v>
      </c>
      <c r="U3" s="2" t="s">
        <v>3</v>
      </c>
      <c r="V3" s="2" t="s">
        <v>3</v>
      </c>
      <c r="W3" s="9" t="s">
        <v>3</v>
      </c>
      <c r="X3" s="19">
        <v>16</v>
      </c>
      <c r="Y3" s="22">
        <f t="shared" si="0"/>
        <v>0.72727272727272729</v>
      </c>
    </row>
    <row r="4" spans="1:28" x14ac:dyDescent="0.35">
      <c r="A4" s="16" t="s">
        <v>8</v>
      </c>
      <c r="B4" s="5" t="s">
        <v>3</v>
      </c>
      <c r="C4" s="4" t="s">
        <v>3</v>
      </c>
      <c r="D4" s="9" t="s">
        <v>3</v>
      </c>
      <c r="E4" s="4" t="s">
        <v>4</v>
      </c>
      <c r="F4" s="2" t="s">
        <v>3</v>
      </c>
      <c r="G4" s="2" t="s">
        <v>3</v>
      </c>
      <c r="H4" s="9" t="s">
        <v>4</v>
      </c>
      <c r="I4" s="4" t="s">
        <v>4</v>
      </c>
      <c r="J4" s="2" t="s">
        <v>4</v>
      </c>
      <c r="K4" s="2" t="s">
        <v>3</v>
      </c>
      <c r="L4" s="2" t="s">
        <v>3</v>
      </c>
      <c r="M4" s="9" t="s">
        <v>3</v>
      </c>
      <c r="N4" s="4" t="s">
        <v>3</v>
      </c>
      <c r="O4" s="2" t="s">
        <v>3</v>
      </c>
      <c r="P4" s="2" t="s">
        <v>5</v>
      </c>
      <c r="Q4" s="2" t="s">
        <v>3</v>
      </c>
      <c r="R4" s="9" t="s">
        <v>4</v>
      </c>
      <c r="S4" s="4" t="s">
        <v>3</v>
      </c>
      <c r="T4" s="2" t="s">
        <v>4</v>
      </c>
      <c r="U4" s="2" t="s">
        <v>3</v>
      </c>
      <c r="V4" s="2" t="s">
        <v>3</v>
      </c>
      <c r="W4" s="9" t="s">
        <v>3</v>
      </c>
      <c r="X4" s="19">
        <v>15</v>
      </c>
      <c r="Y4" s="22">
        <f t="shared" si="0"/>
        <v>0.68181818181818177</v>
      </c>
    </row>
    <row r="5" spans="1:28" x14ac:dyDescent="0.35">
      <c r="A5" s="16" t="s">
        <v>9</v>
      </c>
      <c r="B5" s="5" t="s">
        <v>5</v>
      </c>
      <c r="C5" s="4" t="s">
        <v>3</v>
      </c>
      <c r="D5" s="9" t="s">
        <v>3</v>
      </c>
      <c r="E5" s="4" t="s">
        <v>3</v>
      </c>
      <c r="F5" s="2" t="s">
        <v>5</v>
      </c>
      <c r="G5" s="2" t="s">
        <v>3</v>
      </c>
      <c r="H5" s="9" t="s">
        <v>3</v>
      </c>
      <c r="I5" s="4" t="s">
        <v>4</v>
      </c>
      <c r="J5" s="2" t="s">
        <v>4</v>
      </c>
      <c r="K5" s="2" t="s">
        <v>3</v>
      </c>
      <c r="L5" s="2" t="s">
        <v>5</v>
      </c>
      <c r="M5" s="9" t="s">
        <v>3</v>
      </c>
      <c r="N5" s="4" t="s">
        <v>3</v>
      </c>
      <c r="O5" s="2" t="s">
        <v>4</v>
      </c>
      <c r="P5" s="3" t="s">
        <v>5</v>
      </c>
      <c r="Q5" s="2" t="s">
        <v>4</v>
      </c>
      <c r="R5" s="9" t="s">
        <v>3</v>
      </c>
      <c r="S5" s="4" t="s">
        <v>3</v>
      </c>
      <c r="T5" s="2" t="s">
        <v>3</v>
      </c>
      <c r="U5" s="2" t="s">
        <v>3</v>
      </c>
      <c r="V5" s="2" t="s">
        <v>3</v>
      </c>
      <c r="W5" s="9" t="s">
        <v>5</v>
      </c>
      <c r="X5" s="19">
        <v>14</v>
      </c>
      <c r="Y5" s="22">
        <f t="shared" si="0"/>
        <v>0.59090909090909094</v>
      </c>
    </row>
    <row r="6" spans="1:28" x14ac:dyDescent="0.35">
      <c r="A6" s="16" t="s">
        <v>10</v>
      </c>
      <c r="B6" s="5" t="s">
        <v>3</v>
      </c>
      <c r="C6" s="4" t="s">
        <v>4</v>
      </c>
      <c r="D6" s="9" t="s">
        <v>5</v>
      </c>
      <c r="E6" s="4" t="s">
        <v>4</v>
      </c>
      <c r="F6" s="2" t="s">
        <v>3</v>
      </c>
      <c r="G6" s="2" t="s">
        <v>3</v>
      </c>
      <c r="H6" s="9" t="s">
        <v>4</v>
      </c>
      <c r="I6" s="4" t="s">
        <v>3</v>
      </c>
      <c r="J6" s="2" t="s">
        <v>4</v>
      </c>
      <c r="K6" s="2" t="s">
        <v>3</v>
      </c>
      <c r="L6" s="2" t="s">
        <v>4</v>
      </c>
      <c r="M6" s="9" t="s">
        <v>3</v>
      </c>
      <c r="N6" s="4" t="s">
        <v>3</v>
      </c>
      <c r="O6" s="2" t="s">
        <v>3</v>
      </c>
      <c r="P6" s="2" t="s">
        <v>3</v>
      </c>
      <c r="Q6" s="2" t="s">
        <v>5</v>
      </c>
      <c r="R6" s="9" t="s">
        <v>3</v>
      </c>
      <c r="S6" s="4" t="s">
        <v>5</v>
      </c>
      <c r="T6" s="2" t="s">
        <v>3</v>
      </c>
      <c r="U6" s="2" t="s">
        <v>3</v>
      </c>
      <c r="V6" s="2" t="s">
        <v>3</v>
      </c>
      <c r="W6" s="9" t="s">
        <v>4</v>
      </c>
      <c r="X6" s="19">
        <v>13</v>
      </c>
      <c r="Y6" s="22">
        <f t="shared" si="0"/>
        <v>0.59090909090909094</v>
      </c>
      <c r="AB6" s="1"/>
    </row>
    <row r="7" spans="1:28" x14ac:dyDescent="0.35">
      <c r="A7" s="16" t="s">
        <v>11</v>
      </c>
      <c r="B7" s="5" t="s">
        <v>4</v>
      </c>
      <c r="C7" s="4" t="s">
        <v>3</v>
      </c>
      <c r="D7" s="9" t="s">
        <v>3</v>
      </c>
      <c r="E7" s="4" t="s">
        <v>3</v>
      </c>
      <c r="F7" s="2" t="s">
        <v>3</v>
      </c>
      <c r="G7" s="2" t="s">
        <v>3</v>
      </c>
      <c r="H7" s="9" t="s">
        <v>3</v>
      </c>
      <c r="I7" s="4" t="s">
        <v>4</v>
      </c>
      <c r="J7" s="2" t="s">
        <v>3</v>
      </c>
      <c r="K7" s="2" t="s">
        <v>3</v>
      </c>
      <c r="L7" s="2" t="s">
        <v>4</v>
      </c>
      <c r="M7" s="9" t="s">
        <v>5</v>
      </c>
      <c r="N7" s="4" t="s">
        <v>4</v>
      </c>
      <c r="O7" s="2" t="s">
        <v>4</v>
      </c>
      <c r="P7" s="2" t="s">
        <v>3</v>
      </c>
      <c r="Q7" s="2" t="s">
        <v>3</v>
      </c>
      <c r="R7" s="9" t="s">
        <v>3</v>
      </c>
      <c r="S7" s="4" t="s">
        <v>4</v>
      </c>
      <c r="T7" s="2" t="s">
        <v>3</v>
      </c>
      <c r="U7" s="2" t="s">
        <v>3</v>
      </c>
      <c r="V7" s="2" t="s">
        <v>3</v>
      </c>
      <c r="W7" s="9" t="s">
        <v>3</v>
      </c>
      <c r="X7" s="19">
        <v>14</v>
      </c>
      <c r="Y7" s="22">
        <f t="shared" si="0"/>
        <v>0.68181818181818177</v>
      </c>
    </row>
    <row r="8" spans="1:28" x14ac:dyDescent="0.35">
      <c r="A8" s="16" t="s">
        <v>12</v>
      </c>
      <c r="B8" s="5" t="s">
        <v>3</v>
      </c>
      <c r="C8" s="4" t="s">
        <v>3</v>
      </c>
      <c r="D8" s="9" t="s">
        <v>4</v>
      </c>
      <c r="E8" s="4" t="s">
        <v>3</v>
      </c>
      <c r="F8" s="2" t="s">
        <v>3</v>
      </c>
      <c r="G8" s="2" t="s">
        <v>5</v>
      </c>
      <c r="H8" s="9" t="s">
        <v>4</v>
      </c>
      <c r="I8" s="4" t="s">
        <v>3</v>
      </c>
      <c r="J8" s="2" t="s">
        <v>3</v>
      </c>
      <c r="K8" s="2" t="s">
        <v>3</v>
      </c>
      <c r="L8" s="2" t="s">
        <v>4</v>
      </c>
      <c r="M8" s="9" t="s">
        <v>3</v>
      </c>
      <c r="N8" s="4" t="s">
        <v>3</v>
      </c>
      <c r="O8" s="2" t="s">
        <v>4</v>
      </c>
      <c r="P8" s="2" t="s">
        <v>3</v>
      </c>
      <c r="Q8" s="2" t="s">
        <v>4</v>
      </c>
      <c r="R8" s="9" t="s">
        <v>3</v>
      </c>
      <c r="S8" s="4" t="s">
        <v>3</v>
      </c>
      <c r="T8" s="2" t="s">
        <v>4</v>
      </c>
      <c r="U8" s="2" t="s">
        <v>3</v>
      </c>
      <c r="V8" s="2" t="s">
        <v>3</v>
      </c>
      <c r="W8" s="9" t="s">
        <v>3</v>
      </c>
      <c r="X8" s="19">
        <v>15</v>
      </c>
      <c r="Y8" s="22">
        <f t="shared" si="0"/>
        <v>0.68181818181818177</v>
      </c>
    </row>
    <row r="9" spans="1:28" x14ac:dyDescent="0.35">
      <c r="A9" s="16" t="s">
        <v>13</v>
      </c>
      <c r="B9" s="5" t="s">
        <v>3</v>
      </c>
      <c r="C9" s="4" t="s">
        <v>3</v>
      </c>
      <c r="D9" s="9" t="s">
        <v>4</v>
      </c>
      <c r="E9" s="4" t="s">
        <v>3</v>
      </c>
      <c r="F9" s="2" t="s">
        <v>3</v>
      </c>
      <c r="G9" s="2" t="s">
        <v>3</v>
      </c>
      <c r="H9" s="9" t="s">
        <v>3</v>
      </c>
      <c r="I9" s="4" t="s">
        <v>3</v>
      </c>
      <c r="J9" s="2" t="s">
        <v>3</v>
      </c>
      <c r="K9" s="2" t="s">
        <v>3</v>
      </c>
      <c r="L9" s="2" t="s">
        <v>3</v>
      </c>
      <c r="M9" s="9" t="s">
        <v>5</v>
      </c>
      <c r="N9" s="4" t="s">
        <v>3</v>
      </c>
      <c r="O9" s="2" t="s">
        <v>4</v>
      </c>
      <c r="P9" s="2" t="s">
        <v>3</v>
      </c>
      <c r="Q9" s="2" t="s">
        <v>3</v>
      </c>
      <c r="R9" s="9" t="s">
        <v>3</v>
      </c>
      <c r="S9" s="4" t="s">
        <v>3</v>
      </c>
      <c r="T9" s="2" t="s">
        <v>5</v>
      </c>
      <c r="U9" s="2" t="s">
        <v>3</v>
      </c>
      <c r="V9" s="2" t="s">
        <v>4</v>
      </c>
      <c r="W9" s="9" t="s">
        <v>3</v>
      </c>
      <c r="X9" s="19">
        <v>17</v>
      </c>
      <c r="Y9" s="22">
        <f t="shared" si="0"/>
        <v>0.77272727272727271</v>
      </c>
    </row>
    <row r="10" spans="1:28" x14ac:dyDescent="0.35">
      <c r="A10" s="16" t="s">
        <v>14</v>
      </c>
      <c r="B10" s="5" t="s">
        <v>4</v>
      </c>
      <c r="C10" s="4" t="s">
        <v>4</v>
      </c>
      <c r="D10" s="9" t="s">
        <v>3</v>
      </c>
      <c r="E10" s="4" t="s">
        <v>5</v>
      </c>
      <c r="F10" s="2" t="s">
        <v>4</v>
      </c>
      <c r="G10" s="2" t="s">
        <v>4</v>
      </c>
      <c r="H10" s="9" t="s">
        <v>3</v>
      </c>
      <c r="I10" s="4" t="s">
        <v>4</v>
      </c>
      <c r="J10" s="2" t="s">
        <v>3</v>
      </c>
      <c r="K10" s="2" t="s">
        <v>3</v>
      </c>
      <c r="L10" s="2" t="s">
        <v>3</v>
      </c>
      <c r="M10" s="9" t="s">
        <v>3</v>
      </c>
      <c r="N10" s="4" t="s">
        <v>3</v>
      </c>
      <c r="O10" s="2" t="s">
        <v>4</v>
      </c>
      <c r="P10" s="2" t="s">
        <v>3</v>
      </c>
      <c r="Q10" s="2" t="s">
        <v>4</v>
      </c>
      <c r="R10" s="9" t="s">
        <v>3</v>
      </c>
      <c r="S10" s="4" t="s">
        <v>3</v>
      </c>
      <c r="T10" s="2" t="s">
        <v>3</v>
      </c>
      <c r="U10" s="2" t="s">
        <v>3</v>
      </c>
      <c r="V10" s="2" t="s">
        <v>4</v>
      </c>
      <c r="W10" s="9" t="s">
        <v>4</v>
      </c>
      <c r="X10" s="19">
        <v>13</v>
      </c>
      <c r="Y10" s="22">
        <f t="shared" si="0"/>
        <v>0.54545454545454541</v>
      </c>
    </row>
    <row r="11" spans="1:28" x14ac:dyDescent="0.35">
      <c r="A11" s="18" t="s">
        <v>15</v>
      </c>
      <c r="B11" s="7" t="s">
        <v>3</v>
      </c>
      <c r="C11" s="12" t="s">
        <v>3</v>
      </c>
      <c r="D11" s="13" t="s">
        <v>3</v>
      </c>
      <c r="E11" s="12" t="s">
        <v>3</v>
      </c>
      <c r="F11" s="8" t="s">
        <v>3</v>
      </c>
      <c r="G11" s="8" t="s">
        <v>3</v>
      </c>
      <c r="H11" s="13" t="s">
        <v>3</v>
      </c>
      <c r="I11" s="12" t="s">
        <v>3</v>
      </c>
      <c r="J11" s="8" t="s">
        <v>3</v>
      </c>
      <c r="K11" s="8" t="s">
        <v>5</v>
      </c>
      <c r="L11" s="8" t="s">
        <v>3</v>
      </c>
      <c r="M11" s="13" t="s">
        <v>3</v>
      </c>
      <c r="N11" s="12" t="s">
        <v>4</v>
      </c>
      <c r="O11" s="8" t="s">
        <v>4</v>
      </c>
      <c r="P11" s="8" t="s">
        <v>3</v>
      </c>
      <c r="Q11" s="8" t="s">
        <v>3</v>
      </c>
      <c r="R11" s="13" t="s">
        <v>5</v>
      </c>
      <c r="S11" s="12" t="s">
        <v>3</v>
      </c>
      <c r="T11" s="8" t="s">
        <v>4</v>
      </c>
      <c r="U11" s="8" t="s">
        <v>5</v>
      </c>
      <c r="V11" s="8" t="s">
        <v>3</v>
      </c>
      <c r="W11" s="13" t="s">
        <v>3</v>
      </c>
      <c r="X11" s="21">
        <v>16</v>
      </c>
      <c r="Y11" s="22">
        <f t="shared" si="0"/>
        <v>0.72727272727272729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7634-AC5A-4D94-B3D4-6935C1C5F6CE}">
  <dimension ref="A2"/>
  <sheetViews>
    <sheetView showGridLines="0" workbookViewId="0">
      <selection activeCell="Q11" sqref="Q11"/>
    </sheetView>
  </sheetViews>
  <sheetFormatPr defaultRowHeight="14.5" x14ac:dyDescent="0.35"/>
  <cols>
    <col min="1" max="5" width="8.7265625" customWidth="1"/>
  </cols>
  <sheetData>
    <row r="2" spans="1:1" s="24" customFormat="1" ht="28.5" x14ac:dyDescent="0.65">
      <c r="A2" s="24" t="s">
        <v>38</v>
      </c>
    </row>
  </sheetData>
  <mergeCells count="1">
    <mergeCell ref="A2:XF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Umer Ijaz</dc:creator>
  <cp:lastModifiedBy>Umer Ijaz</cp:lastModifiedBy>
  <dcterms:created xsi:type="dcterms:W3CDTF">2025-01-11T14:00:45Z</dcterms:created>
  <dcterms:modified xsi:type="dcterms:W3CDTF">2025-01-11T15:48:11Z</dcterms:modified>
</cp:coreProperties>
</file>